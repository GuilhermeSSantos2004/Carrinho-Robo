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e985928b2a4e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875cd1b2974b4f15"/>
    <x:sheet xmlns:r="http://schemas.openxmlformats.org/officeDocument/2006/relationships" name="Custos" sheetId="2" r:id="Rd7ecbccf12ce4d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&quot;R$&quot; #,##0.00"/>
    <x:numFmt numFmtId="202" formatCode="dd/mm/yyyy"/>
    <x:numFmt numFmtId="203" formatCode="&quot;R$&quot; #,##0.00;[Red]-&quot;R$&quot; #,##0.00"/>
  </x:numFmts>
  <x:fonts count="22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475569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10"/>
      <x:color rgb="FF0F172A"/>
      <x:name val="Aptos"/>
    </x:font>
    <x:font>
      <x:b/>
      <x:sz val="20"/>
      <x:color rgb="FFFFFFFF"/>
      <x:name val="Aptos Display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sz val="11"/>
      <x:color rgb="FF0F172A"/>
      <x:name val="Carlito"/>
    </x:font>
    <x:font>
      <x:b/>
      <x:sz val="11"/>
      <x:color rgb="FF065F46"/>
      <x:name val="Carlito"/>
    </x:font>
    <x:font>
      <x:b/>
      <x:sz val="11"/>
      <x:color rgb="FF9D174D"/>
      <x:name val="Carlito"/>
    </x:font>
    <x:font>
      <x:i/>
      <x:sz val="11"/>
      <x:color rgb="FF92400E"/>
      <x:name val="Carlito"/>
    </x:font>
    <x:font>
      <x:i/>
      <x:sz val="9"/>
      <x:color rgb="FF475569"/>
      <x:name val="Carlito"/>
    </x:font>
    <x:font>
      <x:b/>
      <x:sz val="20"/>
      <x:color rgb="FFFFFFFF"/>
      <x:name val="Aptos"/>
    </x:font>
    <x:font>
      <x:sz val="11"/>
      <x:name val="Aptos"/>
    </x:font>
    <x:font>
      <x:b/>
      <x:sz val="11"/>
      <x:color rgb="FF0F172A"/>
      <x:name val="Aptos"/>
    </x:font>
    <x:font>
      <x:sz val="11"/>
      <x:color rgb="FF0F172A"/>
      <x:name val="Aptos"/>
    </x:font>
    <x:font>
      <x:b/>
      <x:sz val="11"/>
      <x:color rgb="FF065F46"/>
      <x:name val="Aptos"/>
    </x:font>
    <x:font>
      <x:b/>
      <x:sz val="11"/>
      <x:color rgb="FF9D174D"/>
      <x:name val="Aptos"/>
    </x:font>
    <x:font>
      <x:i/>
      <x:sz val="11"/>
      <x:color rgb="FF92400E"/>
      <x:name val="Aptos"/>
    </x:font>
    <x:font>
      <x:i/>
      <x:sz val="9"/>
      <x:color rgb="FF475569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DB2777"/>
      </x:patternFill>
    </x:fill>
    <x:fill>
      <x:patternFill patternType="solid">
        <x:fgColor rgb="FF0891B2"/>
      </x:patternFill>
    </x:fill>
    <x:fill>
      <x:patternFill patternType="solid">
        <x:fgColor rgb="FF059669"/>
      </x:patternFill>
    </x:fill>
    <x:fill>
      <x:patternFill patternType="solid">
        <x:fgColor rgb="FFECFDF5"/>
      </x:patternFill>
    </x:fill>
    <x:fill>
      <x:patternFill patternType="solid">
        <x:fgColor rgb="FFFCE7F3"/>
      </x:patternFill>
    </x:fill>
    <x:fill>
      <x:patternFill patternType="solid">
        <x:fgColor rgb="FFFEF3C7"/>
      </x:patternFill>
    </x:fill>
  </x:fills>
  <x:borders count="16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1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8" fillId="3" borderId="0" xfId="0" applyNumberFormat="1" applyFont="1" applyFill="1" applyBorder="1"/>
    <x:xf numFmtId="0" fontId="9" fillId="0" borderId="0" xfId="0" applyNumberFormat="1" applyFont="1" applyFill="1" applyBorder="1"/>
    <x:xf numFmtId="202" fontId="9" fillId="0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2" xfId="0" applyNumberFormat="1" applyFont="1" applyFill="1" applyBorder="1"/>
    <x:xf numFmtId="0" fontId="8" fillId="3" borderId="3" xfId="0" applyNumberFormat="1" applyFont="1" applyFill="1" applyBorder="1"/>
    <x:xf numFmtId="0" fontId="9" fillId="0" borderId="4" xfId="0" applyNumberFormat="1" applyFont="1" applyFill="1" applyBorder="1"/>
    <x:xf numFmtId="202" fontId="9" fillId="0" borderId="4" xfId="0" applyNumberFormat="1" applyFont="1" applyFill="1" applyBorder="1"/>
    <x:xf numFmtId="0" fontId="8" fillId="3" borderId="5" xfId="0" applyNumberFormat="1" applyFont="1" applyFill="1" applyBorder="1"/>
    <x:xf numFmtId="202" fontId="9" fillId="0" borderId="6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201" fontId="10" fillId="7" borderId="0" xfId="0" applyNumberFormat="1" applyFont="1" applyFill="1" applyBorder="1"/>
    <x:xf numFmtId="200" fontId="10" fillId="7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2" xfId="0" applyNumberFormat="1" applyFont="1" applyFill="1" applyBorder="1"/>
    <x:xf numFmtId="0" fontId="10" fillId="7" borderId="3" xfId="0" applyNumberFormat="1" applyFont="1" applyFill="1" applyBorder="1"/>
    <x:xf numFmtId="201" fontId="10" fillId="7" borderId="4" xfId="0" applyNumberFormat="1" applyFont="1" applyFill="1" applyBorder="1"/>
    <x:xf numFmtId="200" fontId="10" fillId="7" borderId="4" xfId="0" applyNumberFormat="1" applyFont="1" applyFill="1" applyBorder="1"/>
    <x:xf numFmtId="0" fontId="10" fillId="7" borderId="5" xfId="0" applyNumberFormat="1" applyFont="1" applyFill="1" applyBorder="1"/>
    <x:xf numFmtId="200" fontId="10" fillId="7" borderId="6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3" fontId="0" fillId="0" borderId="8" xfId="0" applyNumberFormat="1" applyFont="1" applyFill="1" applyBorder="1"/>
    <x:xf numFmtId="203" fontId="0" fillId="0" borderId="11" xfId="0" applyNumberFormat="1" applyFont="1" applyFill="1" applyBorder="1"/>
    <x:xf numFmtId="203" fontId="0" fillId="0" borderId="14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8" borderId="10" xfId="0" applyNumberFormat="1" applyFont="1" applyFill="1" applyBorder="1"/>
    <x:xf numFmtId="203" fontId="0" fillId="8" borderId="11" xfId="0" applyNumberFormat="1" applyFont="1" applyFill="1" applyBorder="1"/>
    <x:xf numFmtId="0" fontId="0" fillId="8" borderId="12" xfId="0" applyNumberFormat="1" applyFont="1" applyFill="1" applyBorder="1" applyAlignment="1">
      <x:alignment wrapText="1"/>
    </x:xf>
    <x:xf numFmtId="0" fontId="11" fillId="8" borderId="10" xfId="0" applyNumberFormat="1" applyFont="1" applyFill="1" applyBorder="1"/>
    <x:xf numFmtId="203" fontId="11" fillId="8" borderId="11" xfId="0" applyNumberFormat="1" applyFont="1" applyFill="1" applyBorder="1"/>
    <x:xf numFmtId="0" fontId="11" fillId="8" borderId="12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wrapText="1"/>
    </x:xf>
    <x:xf numFmtId="0" fontId="12" fillId="9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0" fontId="14" fillId="2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16" fillId="3" borderId="3" xfId="0" applyNumberFormat="1" applyFont="1" applyFill="1" applyBorder="1"/>
    <x:xf numFmtId="0" fontId="17" fillId="0" borderId="4" xfId="0" applyNumberFormat="1" applyFont="1" applyFill="1" applyBorder="1"/>
    <x:xf numFmtId="0" fontId="18" fillId="7" borderId="3" xfId="0" applyNumberFormat="1" applyFont="1" applyFill="1" applyBorder="1"/>
    <x:xf numFmtId="201" fontId="18" fillId="7" borderId="4" xfId="0" applyNumberFormat="1" applyFont="1" applyFill="1" applyBorder="1"/>
    <x:xf numFmtId="200" fontId="18" fillId="7" borderId="4" xfId="0" applyNumberFormat="1" applyFont="1" applyFill="1" applyBorder="1"/>
    <x:xf numFmtId="0" fontId="18" fillId="7" borderId="5" xfId="0" applyNumberFormat="1" applyFont="1" applyFill="1" applyBorder="1"/>
    <x:xf numFmtId="200" fontId="18" fillId="7" borderId="6" xfId="0" applyNumberFormat="1" applyFont="1" applyFill="1" applyBorder="1"/>
    <x:xf numFmtId="202" fontId="17" fillId="0" borderId="4" xfId="0" applyNumberFormat="1" applyFont="1" applyFill="1" applyBorder="1"/>
    <x:xf numFmtId="0" fontId="16" fillId="3" borderId="5" xfId="0" applyNumberFormat="1" applyFont="1" applyFill="1" applyBorder="1"/>
    <x:xf numFmtId="202" fontId="17" fillId="0" borderId="6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15" fillId="0" borderId="7" xfId="0" applyNumberFormat="1" applyFont="1" applyFill="1" applyBorder="1"/>
    <x:xf numFmtId="203" fontId="15" fillId="0" borderId="8" xfId="0" applyNumberFormat="1" applyFont="1" applyFill="1" applyBorder="1"/>
    <x:xf numFmtId="0" fontId="15" fillId="0" borderId="9" xfId="0" applyNumberFormat="1" applyFont="1" applyFill="1" applyBorder="1" applyAlignment="1">
      <x:alignment wrapText="1"/>
    </x:xf>
    <x:xf numFmtId="0" fontId="19" fillId="8" borderId="10" xfId="0" applyNumberFormat="1" applyFont="1" applyFill="1" applyBorder="1"/>
    <x:xf numFmtId="203" fontId="19" fillId="8" borderId="11" xfId="0" applyNumberFormat="1" applyFont="1" applyFill="1" applyBorder="1"/>
    <x:xf numFmtId="0" fontId="19" fillId="8" borderId="12" xfId="0" applyNumberFormat="1" applyFont="1" applyFill="1" applyBorder="1" applyAlignment="1">
      <x:alignment wrapText="1"/>
    </x:xf>
    <x:xf numFmtId="0" fontId="15" fillId="0" borderId="10" xfId="0" applyNumberFormat="1" applyFont="1" applyFill="1" applyBorder="1"/>
    <x:xf numFmtId="203" fontId="15" fillId="0" borderId="11" xfId="0" applyNumberFormat="1" applyFont="1" applyFill="1" applyBorder="1"/>
    <x:xf numFmtId="0" fontId="15" fillId="0" borderId="12" xfId="0" applyNumberFormat="1" applyFont="1" applyFill="1" applyBorder="1" applyAlignment="1">
      <x:alignment wrapText="1"/>
    </x:xf>
    <x:xf numFmtId="0" fontId="15" fillId="0" borderId="13" xfId="0" applyNumberFormat="1" applyFont="1" applyFill="1" applyBorder="1"/>
    <x:xf numFmtId="203" fontId="15" fillId="0" borderId="14" xfId="0" applyNumberFormat="1" applyFont="1" applyFill="1" applyBorder="1"/>
    <x:xf numFmtId="0" fontId="15" fillId="0" borderId="15" xfId="0" applyNumberFormat="1" applyFont="1" applyFill="1" applyBorder="1" applyAlignment="1">
      <x:alignment wrapText="1"/>
    </x:xf>
    <x:xf numFmtId="0" fontId="20" fillId="9" borderId="0" xfId="0" applyNumberFormat="1" applyFont="1" applyFill="1" applyBorder="1" applyAlignment="1">
      <x:alignment vertical="center" wrapText="1"/>
    </x:xf>
    <x:xf numFmtId="0" fontId="21" fillId="0" borderId="0" xfId="0" applyNumberFormat="1" applyFont="1" applyFill="1" applyBorder="1"/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ec6e6850924123" /><Relationship Type="http://schemas.openxmlformats.org/officeDocument/2006/relationships/theme" Target="/xl/theme/theme1.xml" Id="Rebfbb52f30204f0e" /><Relationship Type="http://schemas.openxmlformats.org/officeDocument/2006/relationships/sharedStrings" Target="/xl/sharedStrings.xml" Id="Rb2d92bff00d44337" /><Relationship Type="http://schemas.openxmlformats.org/officeDocument/2006/relationships/worksheet" Target="/xl/worksheets/sheet1.xml" Id="R875cd1b2974b4f15" /><Relationship Type="http://schemas.openxmlformats.org/officeDocument/2006/relationships/worksheet" Target="/xl/worksheets/sheet2.xml" Id="Rd7ecbccf12ce4d5b" /></Relationships>
</file>

<file path=xl/tables/table1.xml><?xml version="1.0" encoding="utf-8"?>
<x:table xmlns:x="http://schemas.openxmlformats.org/spreadsheetml/2006/main" id="1" name="CustosProjeto" displayName="CustosProjeto" ref="A5:M21" headerRowCount="1" totalsRowCount="0" totalsRowShown="0">
  <x:autoFilter ref="A5:M21"/>
  <x:tableColumns count="13">
    <x:tableColumn id="1" name="ID"/>
    <x:tableColumn id="2" name="Categoria"/>
    <x:tableColumn id="3" name="Componente"/>
    <x:tableColumn id="4" name="Quantidade"/>
    <x:tableColumn id="5" name="Unidade"/>
    <x:tableColumn id="6" name="Preço unitário"/>
    <x:tableColumn id="7" name="Subtotal"/>
    <x:tableColumn id="8" name="Cenário"/>
    <x:tableColumn id="9" name="Obrigatório"/>
    <x:tableColumn id="10" name="Status"/>
    <x:tableColumn id="11" name="Loja"/>
    <x:tableColumn id="12" name="Link da loja"/>
    <x:tableColumn id="13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089233d41b46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889999389648438" hidden="0" customWidth="1"/>
    <x:col min="2" max="2" width="17.219999313354492" hidden="0" customWidth="1"/>
    <x:col min="3" max="3" width="17.219999313354492" hidden="0" customWidth="1"/>
    <x:col min="4" max="4" width="40" hidden="0" customWidth="1"/>
    <x:col min="5" max="5" width="2.6700000762939453" hidden="0" customWidth="1"/>
    <x:col min="6" max="6" width="21.110000610351562" hidden="0" customWidth="1"/>
    <x:col min="7" max="7" width="15" hidden="0" customWidth="1"/>
    <x:col min="8" max="8" width="2.6700000762939453" hidden="0" customWidth="1"/>
  </x:cols>
  <x:sheetData>
    <x:row r="1" ht="34.5" customHeight="1">
      <x:c r="A1" s="77" t="str">
        <x:v>TAREFA 18 — CUSTOS DO CARRINHO-ROBÔ</x:v>
      </x:c>
      <x:c r="B1" s="77"/>
      <x:c r="C1" s="77"/>
      <x:c r="D1" s="77"/>
      <x:c r="E1" s="77"/>
      <x:c r="F1" s="77"/>
      <x:c r="G1" s="77"/>
      <x:c r="H1" s="77"/>
    </x:row>
    <x:row r="2">
      <x:c r="A2" s="9" t="str">
        <x:v>FIAP • Project-based Maker Lab • Turma 4ESPX</x:v>
      </x:c>
      <x:c r="B2" s="9"/>
      <x:c r="C2" s="9"/>
      <x:c r="D2" s="9"/>
      <x:c r="E2" s="9"/>
      <x:c r="F2" s="9"/>
      <x:c r="G2" s="9"/>
      <x:c r="H2" s="9"/>
    </x:row>
    <x:row r="3">
      <x:c r="A3" s="78"/>
      <x:c r="B3" s="78"/>
      <x:c r="C3" s="78"/>
      <x:c r="D3" s="78"/>
      <x:c r="E3" s="78"/>
      <x:c r="F3" s="78"/>
      <x:c r="G3" s="78"/>
      <x:c r="H3" s="78"/>
    </x:row>
    <x:row r="4">
      <x:c r="A4" s="79" t="str">
        <x:v>IDENTIFICAÇÃO</x:v>
      </x:c>
      <x:c r="B4" s="80"/>
      <x:c r="C4" s="78"/>
      <x:c r="D4" s="78"/>
      <x:c r="E4" s="78"/>
      <x:c r="F4" s="81" t="str">
        <x:v>INDICADORES</x:v>
      </x:c>
      <x:c r="G4" s="82"/>
      <x:c r="H4" s="78"/>
    </x:row>
    <x:row r="5" ht="21" customHeight="1">
      <x:c r="A5" s="83" t="str">
        <x:v>Projeto</x:v>
      </x:c>
      <x:c r="B5" s="84" t="str">
        <x:v>Carrinho-robô com ESP32</x:v>
      </x:c>
      <x:c r="C5" s="78"/>
      <x:c r="D5" s="78"/>
      <x:c r="E5" s="78"/>
      <x:c r="F5" s="85" t="str">
        <x:v>Menor cenário completo</x:v>
      </x:c>
      <x:c r="G5" s="86" t="n">
        <x:f>MIN(B14:B16)</x:f>
        <x:v>246.38000000000002</x:v>
      </x:c>
      <x:c r="H5" s="78"/>
    </x:row>
    <x:row r="6" ht="21" customHeight="1">
      <x:c r="A6" s="83" t="str">
        <x:v>Instituição</x:v>
      </x:c>
      <x:c r="B6" s="84" t="str">
        <x:v>FIAP</x:v>
      </x:c>
      <x:c r="C6" s="78"/>
      <x:c r="D6" s="78"/>
      <x:c r="E6" s="78"/>
      <x:c r="F6" s="85" t="str">
        <x:v>Diferença Li-Ion x AA</x:v>
      </x:c>
      <x:c r="G6" s="86" t="n">
        <x:f>ABS(B15-B14)</x:f>
        <x:v>5.799999999999983</x:v>
      </x:c>
      <x:c r="H6" s="78"/>
    </x:row>
    <x:row r="7" ht="21" customHeight="1">
      <x:c r="A7" s="83" t="str">
        <x:v>Turma</x:v>
      </x:c>
      <x:c r="B7" s="84" t="str">
        <x:v>4ESPX</x:v>
      </x:c>
      <x:c r="C7" s="78"/>
      <x:c r="D7" s="78"/>
      <x:c r="E7" s="78"/>
      <x:c r="F7" s="85" t="str">
        <x:v>Itens cotados</x:v>
      </x:c>
      <x:c r="G7" s="87" t="n">
        <x:f>COUNTIF('Custos'!J6:J21,"Cotado")</x:f>
        <x:v>14</x:v>
      </x:c>
      <x:c r="H7" s="78"/>
    </x:row>
    <x:row r="8" ht="21" customHeight="1">
      <x:c r="A8" s="83" t="str">
        <x:v>Professora</x:v>
      </x:c>
      <x:c r="B8" s="84" t="str">
        <x:v>Gedeane Kenshima</x:v>
      </x:c>
      <x:c r="C8" s="78"/>
      <x:c r="D8" s="78"/>
      <x:c r="E8" s="78"/>
      <x:c r="F8" s="88" t="str">
        <x:v>Itens a definir</x:v>
      </x:c>
      <x:c r="G8" s="89" t="n">
        <x:f>COUNTIF('Custos'!J6:J21,"A definir")</x:f>
        <x:v>2</x:v>
      </x:c>
      <x:c r="H8" s="78"/>
    </x:row>
    <x:row r="9" ht="21" customHeight="1">
      <x:c r="A9" s="83" t="str">
        <x:v>Prazo</x:v>
      </x:c>
      <x:c r="B9" s="90" t="n">
        <x:v>46268.58263888889</x:v>
      </x:c>
      <x:c r="C9" s="78"/>
      <x:c r="D9" s="78"/>
      <x:c r="E9" s="78"/>
      <x:c r="F9" s="78"/>
      <x:c r="G9" s="78"/>
      <x:c r="H9" s="78"/>
    </x:row>
    <x:row r="10" ht="21" customHeight="1">
      <x:c r="A10" s="91" t="str">
        <x:v>Data da cotação</x:v>
      </x:c>
      <x:c r="B10" s="92" t="n">
        <x:v>46261</x:v>
      </x:c>
      <x:c r="C10" s="78"/>
      <x:c r="D10" s="78"/>
      <x:c r="E10" s="78"/>
      <x:c r="F10" s="78"/>
      <x:c r="G10" s="78"/>
      <x:c r="H10" s="78"/>
    </x:row>
    <x:row r="11" ht="21" customHeight="1">
      <x:c r="A11" s="78"/>
      <x:c r="B11" s="78"/>
      <x:c r="C11" s="78"/>
      <x:c r="D11" s="78"/>
      <x:c r="E11" s="78"/>
      <x:c r="F11" s="78"/>
      <x:c r="G11" s="78"/>
      <x:c r="H11" s="78"/>
    </x:row>
    <x:row r="12" ht="21" customHeight="1">
      <x:c r="A12" s="93" t="str">
        <x:v>Cenário</x:v>
      </x:c>
      <x:c r="B12" s="93" t="str">
        <x:v>Total estimado</x:v>
      </x:c>
      <x:c r="C12" s="93" t="str">
        <x:v>Diferença para AA</x:v>
      </x:c>
      <x:c r="D12" s="93" t="str">
        <x:v>Observação</x:v>
      </x:c>
      <x:c r="E12" s="78"/>
      <x:c r="F12" s="78"/>
      <x:c r="G12" s="78"/>
      <x:c r="H12" s="78"/>
    </x:row>
    <x:row r="13" ht="36" customHeight="1">
      <x:c r="A13" s="94" t="str">
        <x:v>Componentes comuns</x:v>
      </x:c>
      <x:c r="B13" s="95" t="n">
        <x:f>SUMIF('Custos'!H6:H21,"Comum",'Custos'!G6:G21)</x:f>
        <x:v>180.38000000000002</x:v>
      </x:c>
      <x:c r="C13" s="95" t="n">
        <x:f>B13-B14</x:f>
        <x:v>-71.79999999999998</x:v>
      </x:c>
      <x:c r="D13" s="96" t="str">
        <x:v>Subtotal obrigatório sem alimentação, frete, protoboard e carenagem</x:v>
      </x:c>
      <x:c r="E13" s="78"/>
      <x:c r="F13" s="78"/>
      <x:c r="G13" s="78"/>
      <x:c r="H13" s="78"/>
    </x:row>
    <x:row r="14" ht="36" customHeight="1">
      <x:c r="A14" s="97" t="str">
        <x:v>8 pilhas AA Duracell</x:v>
      </x:c>
      <x:c r="B14" s="98" t="n">
        <x:f>B13+SUMIF('Custos'!H6:H21,"Opção A",'Custos'!G6:G21)</x:f>
        <x:v>252.18</x:v>
      </x:c>
      <x:c r="C14" s="98" t="n">
        <x:f>0</x:f>
        <x:v>0</x:v>
      </x:c>
      <x:c r="D14" s="99" t="str">
        <x:v>Inclui oito pilhas e dois suportes de quatro pilhas</x:v>
      </x:c>
      <x:c r="E14" s="78"/>
      <x:c r="F14" s="78"/>
      <x:c r="G14" s="78"/>
      <x:c r="H14" s="78"/>
    </x:row>
    <x:row r="15" ht="36" customHeight="1">
      <x:c r="A15" s="100" t="str">
        <x:v>Li-Ion com carregador disponível</x:v>
      </x:c>
      <x:c r="B15" s="101" t="n">
        <x:f>B13+SUMIF('Custos'!H6:H21,"Opção B",'Custos'!G6:G21)</x:f>
        <x:v>246.38000000000002</x:v>
      </x:c>
      <x:c r="C15" s="101" t="n">
        <x:f>B15-B14</x:f>
        <x:v>-5.799999999999983</x:v>
      </x:c>
      <x:c r="D15" s="102" t="str">
        <x:v>Usa o pack Li-Ion e considera que o grupo já possui carregador 2S</x:v>
      </x:c>
      <x:c r="E15" s="78"/>
      <x:c r="F15" s="78"/>
      <x:c r="G15" s="78"/>
      <x:c r="H15" s="78"/>
    </x:row>
    <x:row r="16" ht="36" customHeight="1">
      <x:c r="A16" s="103" t="str">
        <x:v>Li-Ion comprando carregador</x:v>
      </x:c>
      <x:c r="B16" s="104" t="n">
        <x:f>B15+SUMIF('Custos'!H6:H21,"Opção B + carregador",'Custos'!G6:G21)</x:f>
        <x:v>284.28000000000003</x:v>
      </x:c>
      <x:c r="C16" s="104" t="n">
        <x:f>B16-B14</x:f>
        <x:v>32.10000000000002</x:v>
      </x:c>
      <x:c r="D16" s="105" t="str">
        <x:v>Inclui o pack Li-Ion e a compra de carregador 2S</x:v>
      </x:c>
      <x:c r="E16" s="78"/>
      <x:c r="F16" s="78"/>
      <x:c r="G16" s="78"/>
      <x:c r="H16" s="78"/>
    </x:row>
    <x:row r="17">
      <x:c r="A17" s="78"/>
      <x:c r="B17" s="78"/>
      <x:c r="C17" s="78"/>
      <x:c r="D17" s="78"/>
      <x:c r="E17" s="78"/>
      <x:c r="F17" s="78"/>
      <x:c r="G17" s="78"/>
      <x:c r="H17" s="78"/>
    </x:row>
    <x:row r="18" ht="28.5" customHeight="1">
      <x:c r="A18" s="106" t="str">
        <x:v>Observação: frete, carenagem e materiais ainda sem preço não entram nos totais. A planilha deve ser atualizada após cada compra.</x:v>
      </x:c>
      <x:c r="B18" s="106"/>
      <x:c r="C18" s="106"/>
      <x:c r="D18" s="106"/>
      <x:c r="E18" s="106"/>
      <x:c r="F18" s="106"/>
      <x:c r="G18" s="106"/>
      <x:c r="H18" s="106"/>
    </x:row>
    <x:row r="19">
      <x:c r="A19" s="78"/>
      <x:c r="B19" s="78"/>
      <x:c r="C19" s="78"/>
      <x:c r="D19" s="78"/>
      <x:c r="E19" s="78"/>
      <x:c r="F19" s="78"/>
      <x:c r="G19" s="78"/>
      <x:c r="H19" s="78"/>
    </x:row>
    <x:row r="20">
      <x:c r="A20" s="107" t="str">
        <x:v>As URLs completas e os valores unitários estão na aba Custos. Os totais são calculados automaticamente por fórmulas.</x:v>
      </x:c>
      <x:c r="B20" s="107"/>
      <x:c r="C20" s="107"/>
      <x:c r="D20" s="107"/>
      <x:c r="E20" s="107"/>
      <x:c r="F20" s="107"/>
      <x:c r="G20" s="107"/>
      <x:c r="H20" s="107"/>
    </x:row>
  </x:sheetData>
  <x:mergeCells>
    <x:mergeCell ref="A1:H1"/>
    <x:mergeCell ref="A2:H2"/>
    <x:mergeCell ref="A4:B4"/>
    <x:mergeCell ref="F4:G4"/>
    <x:mergeCell ref="A18:H18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12.779999732971191" hidden="0" customWidth="1"/>
    <x:col min="3" max="3" width="28.889999389648438" hidden="0" customWidth="1"/>
    <x:col min="4" max="4" width="9.109999656677246" hidden="0" customWidth="1"/>
    <x:col min="5" max="5" width="8" hidden="0" customWidth="1"/>
    <x:col min="6" max="6" width="11.670000076293945" hidden="0" customWidth="1"/>
    <x:col min="7" max="7" width="11.670000076293945" hidden="0" customWidth="1"/>
    <x:col min="8" max="8" width="15" hidden="0" customWidth="1"/>
    <x:col min="9" max="9" width="10.5600004196167" hidden="0" customWidth="1"/>
    <x:col min="10" max="10" width="10.5600004196167" hidden="0" customWidth="1"/>
    <x:col min="11" max="11" width="14.4399995803833" hidden="0" customWidth="1"/>
    <x:col min="12" max="12" width="40" hidden="0" customWidth="1"/>
    <x:col min="13" max="13" width="31.110000610351562" hidden="0" customWidth="1"/>
  </x:cols>
  <x:sheetData>
    <x:row r="1" ht="31.5" customHeight="1">
      <x:c r="A1" s="4" t="str">
        <x:v>PLANILHA DE CUSTOS — CARRINHO-ROBÔ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1" customHeight="1">
      <x:c r="A2" s="7" t="str">
        <x:v>Preços consultados em 27/08/2026 • Valores sem frete • Edite quantidade e preço unitário para atualizar os totais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9" t="str">
        <x:v>ITENS, QUANTIDADES, LOJAS E REFERÊNCIAS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</x:row>
    <x:row r="5" ht="28.5" customHeight="1">
      <x:c r="A5" s="12" t="str">
        <x:v>ID</x:v>
      </x:c>
      <x:c r="B5" s="12" t="str">
        <x:v>Categoria</x:v>
      </x:c>
      <x:c r="C5" s="12" t="str">
        <x:v>Componente</x:v>
      </x:c>
      <x:c r="D5" s="12" t="str">
        <x:v>Quantidade</x:v>
      </x:c>
      <x:c r="E5" s="12" t="str">
        <x:v>Unidade</x:v>
      </x:c>
      <x:c r="F5" s="12" t="str">
        <x:v>Preço unitário</x:v>
      </x:c>
      <x:c r="G5" s="12" t="str">
        <x:v>Subtotal</x:v>
      </x:c>
      <x:c r="H5" s="12" t="str">
        <x:v>Cenário</x:v>
      </x:c>
      <x:c r="I5" s="12" t="str">
        <x:v>Obrigatório</x:v>
      </x:c>
      <x:c r="J5" s="12" t="str">
        <x:v>Status</x:v>
      </x:c>
      <x:c r="K5" s="12" t="str">
        <x:v>Loja</x:v>
      </x:c>
      <x:c r="L5" s="12" t="str">
        <x:v>Link da loja</x:v>
      </x:c>
      <x:c r="M5" s="12" t="str">
        <x:v>Observação</x:v>
      </x:c>
    </x:row>
    <x:row r="6" ht="31.5" customHeight="1">
      <x:c r="A6" s="21" t="str">
        <x:v>C-01</x:v>
      </x:c>
      <x:c r="B6" s="21" t="str">
        <x:v>Controle</x:v>
      </x:c>
      <x:c r="C6" s="15" t="str">
        <x:v>ESP32 DevKit V1 com cabo USB</x:v>
      </x:c>
      <x:c r="D6" s="18" t="n">
        <x:v>1</x:v>
      </x:c>
      <x:c r="E6" s="19" t="str">
        <x:v>un.</x:v>
      </x:c>
      <x:c r="F6" s="20" t="n">
        <x:v>64.99</x:v>
      </x:c>
      <x:c r="G6" s="20" t="n">
        <x:f>D6*F6</x:f>
        <x:v>64.99</x:v>
      </x:c>
      <x:c r="H6" s="14" t="str">
        <x:v>Comum</x:v>
      </x:c>
      <x:c r="I6" s="14" t="str">
        <x:v>Sim</x:v>
      </x:c>
      <x:c r="J6" s="14" t="str">
        <x:v>Cotado</x:v>
      </x:c>
      <x:c r="K6" s="14" t="str">
        <x:v>Casa da Robótica</x:v>
      </x:c>
      <x:c r="L6" s="15" t="str">
        <x:v>https://www.casadarobotica.com/placas-embarcadas/esp/placas/placa-esp32-com-wi-fi-bluetooth-esp32s-ide-dual-core-dev-kit-v1-cabo-micro-usb</x:v>
      </x:c>
      <x:c r="M6" s="15" t="str">
        <x:v>Controlador principal; dispensa HC-05/HM-10</x:v>
      </x:c>
    </x:row>
    <x:row r="7" ht="31.5" customHeight="1">
      <x:c r="A7" s="21" t="str">
        <x:v>C-02</x:v>
      </x:c>
      <x:c r="B7" s="21" t="str">
        <x:v>Acionamento</x:v>
      </x:c>
      <x:c r="C7" s="15" t="str">
        <x:v>Ponte H L298N</x:v>
      </x:c>
      <x:c r="D7" s="18" t="n">
        <x:v>1</x:v>
      </x:c>
      <x:c r="E7" s="19" t="str">
        <x:v>un.</x:v>
      </x:c>
      <x:c r="F7" s="20" t="n">
        <x:v>14.9</x:v>
      </x:c>
      <x:c r="G7" s="20" t="n">
        <x:f>D7*F7</x:f>
        <x:v>14.9</x:v>
      </x:c>
      <x:c r="H7" s="14" t="str">
        <x:v>Comum</x:v>
      </x:c>
      <x:c r="I7" s="14" t="str">
        <x:v>Sim</x:v>
      </x:c>
      <x:c r="J7" s="14" t="str">
        <x:v>Cotado</x:v>
      </x:c>
      <x:c r="K7" s="14" t="str">
        <x:v>Eletrogate</x:v>
      </x:c>
      <x:c r="L7" s="15" t="str">
        <x:v>https://www.eletrogate.com/ponte-h-dupla-l298n</x:v>
      </x:c>
      <x:c r="M7" s="15" t="str">
        <x:v>Controle independente dos dois motores</x:v>
      </x:c>
    </x:row>
    <x:row r="8" ht="31.5" customHeight="1">
      <x:c r="A8" s="21" t="str">
        <x:v>C-03</x:v>
      </x:c>
      <x:c r="B8" s="21" t="str">
        <x:v>Mecânica</x:v>
      </x:c>
      <x:c r="C8" s="15" t="str">
        <x:v>Kit chassi 2WD com motores, rodas e rodízio</x:v>
      </x:c>
      <x:c r="D8" s="18" t="n">
        <x:v>1</x:v>
      </x:c>
      <x:c r="E8" s="19" t="str">
        <x:v>kit</x:v>
      </x:c>
      <x:c r="F8" s="20" t="n">
        <x:v>54.99</x:v>
      </x:c>
      <x:c r="G8" s="20" t="n">
        <x:f>D8*F8</x:f>
        <x:v>54.99</x:v>
      </x:c>
      <x:c r="H8" s="14" t="str">
        <x:v>Comum</x:v>
      </x:c>
      <x:c r="I8" s="14" t="str">
        <x:v>Sim</x:v>
      </x:c>
      <x:c r="J8" s="14" t="str">
        <x:v>Cotado</x:v>
      </x:c>
      <x:c r="K8" s="14" t="str">
        <x:v>Casa da Robótica</x:v>
      </x:c>
      <x:c r="L8" s="15" t="str">
        <x:v>https://www.casadarobotica.com/robotica/chassi-s/carros/kit-chassi-2-rodas</x:v>
      </x:c>
      <x:c r="M8" s="15" t="str">
        <x:v>Inclui dois motores TT e rodas</x:v>
      </x:c>
    </x:row>
    <x:row r="9" ht="31.5" customHeight="1">
      <x:c r="A9" s="21" t="str">
        <x:v>C-04</x:v>
      </x:c>
      <x:c r="B9" s="21" t="str">
        <x:v>Sensor</x:v>
      </x:c>
      <x:c r="C9" s="15" t="str">
        <x:v>Sensor ultrassônico HC-SR04</x:v>
      </x:c>
      <x:c r="D9" s="18" t="n">
        <x:v>1</x:v>
      </x:c>
      <x:c r="E9" s="19" t="str">
        <x:v>un.</x:v>
      </x:c>
      <x:c r="F9" s="20" t="n">
        <x:v>9.9</x:v>
      </x:c>
      <x:c r="G9" s="20" t="n">
        <x:f>D9*F9</x:f>
        <x:v>9.9</x:v>
      </x:c>
      <x:c r="H9" s="14" t="str">
        <x:v>Comum</x:v>
      </x:c>
      <x:c r="I9" s="14" t="str">
        <x:v>Sim</x:v>
      </x:c>
      <x:c r="J9" s="14" t="str">
        <x:v>Cotado</x:v>
      </x:c>
      <x:c r="K9" s="14" t="str">
        <x:v>Eletrogate</x:v>
      </x:c>
      <x:c r="L9" s="15" t="str">
        <x:v>https://www.eletrogate.com/modulo-sensor-de-distancia-ultrassonico-hc-sr04</x:v>
      </x:c>
      <x:c r="M9" s="15" t="str">
        <x:v>Detecção frontal de obstáculos</x:v>
      </x:c>
    </x:row>
    <x:row r="10" ht="31.5" customHeight="1">
      <x:c r="A10" s="21" t="str">
        <x:v>C-05</x:v>
      </x:c>
      <x:c r="B10" s="21" t="str">
        <x:v>Alimentação</x:v>
      </x:c>
      <x:c r="C10" s="15" t="str">
        <x:v>Conversor step-down LM2596</x:v>
      </x:c>
      <x:c r="D10" s="18" t="n">
        <x:v>1</x:v>
      </x:c>
      <x:c r="E10" s="19" t="str">
        <x:v>un.</x:v>
      </x:c>
      <x:c r="F10" s="20" t="n">
        <x:v>8.9</x:v>
      </x:c>
      <x:c r="G10" s="20" t="n">
        <x:f>D10*F10</x:f>
        <x:v>8.9</x:v>
      </x:c>
      <x:c r="H10" s="14" t="str">
        <x:v>Comum</x:v>
      </x:c>
      <x:c r="I10" s="14" t="str">
        <x:v>Sim</x:v>
      </x:c>
      <x:c r="J10" s="14" t="str">
        <x:v>Cotado</x:v>
      </x:c>
      <x:c r="K10" s="14" t="str">
        <x:v>Eletrogate</x:v>
      </x:c>
      <x:c r="L10" s="15" t="str">
        <x:v>https://www.eletrogate.com/modulo-regulador-de-tensao-step-down-lm2596</x:v>
      </x:c>
      <x:c r="M10" s="15" t="str">
        <x:v>Regular a saída para 5,0 V antes de ligar o ESP32</x:v>
      </x:c>
    </x:row>
    <x:row r="11" ht="31.5" customHeight="1">
      <x:c r="A11" s="21" t="str">
        <x:v>C-06</x:v>
      </x:c>
      <x:c r="B11" s="21" t="str">
        <x:v>Conexões</x:v>
      </x:c>
      <x:c r="C11" s="15" t="str">
        <x:v>Kit jumper macho-macho</x:v>
      </x:c>
      <x:c r="D11" s="18" t="n">
        <x:v>1</x:v>
      </x:c>
      <x:c r="E11" s="19" t="str">
        <x:v>kit</x:v>
      </x:c>
      <x:c r="F11" s="20" t="n">
        <x:v>8.9</x:v>
      </x:c>
      <x:c r="G11" s="20" t="n">
        <x:f>D11*F11</x:f>
        <x:v>8.9</x:v>
      </x:c>
      <x:c r="H11" s="14" t="str">
        <x:v>Comum</x:v>
      </x:c>
      <x:c r="I11" s="14" t="str">
        <x:v>Sim</x:v>
      </x:c>
      <x:c r="J11" s="14" t="str">
        <x:v>Cotado</x:v>
      </x:c>
      <x:c r="K11" s="14" t="str">
        <x:v>Eletrogate</x:v>
      </x:c>
      <x:c r="L11" s="15" t="str">
        <x:v>https://www.eletrogate.com/jumpers-macho-macho-40-unidades-de-10-cm</x:v>
      </x:c>
      <x:c r="M11" s="15" t="str">
        <x:v>40 unidades</x:v>
      </x:c>
    </x:row>
    <x:row r="12" ht="31.5" customHeight="1">
      <x:c r="A12" s="21" t="str">
        <x:v>C-07</x:v>
      </x:c>
      <x:c r="B12" s="21" t="str">
        <x:v>Conexões</x:v>
      </x:c>
      <x:c r="C12" s="15" t="str">
        <x:v>Kit jumper macho-fêmea</x:v>
      </x:c>
      <x:c r="D12" s="18" t="n">
        <x:v>1</x:v>
      </x:c>
      <x:c r="E12" s="19" t="str">
        <x:v>kit</x:v>
      </x:c>
      <x:c r="F12" s="20" t="n">
        <x:v>8.9</x:v>
      </x:c>
      <x:c r="G12" s="20" t="n">
        <x:f>D12*F12</x:f>
        <x:v>8.9</x:v>
      </x:c>
      <x:c r="H12" s="14" t="str">
        <x:v>Comum</x:v>
      </x:c>
      <x:c r="I12" s="14" t="str">
        <x:v>Sim</x:v>
      </x:c>
      <x:c r="J12" s="14" t="str">
        <x:v>Cotado</x:v>
      </x:c>
      <x:c r="K12" s="14" t="str">
        <x:v>Eletrogate</x:v>
      </x:c>
      <x:c r="L12" s="15" t="str">
        <x:v>https://www.eletrogate.com/jumpers-macho-femea-40-unidades-de-20-cm</x:v>
      </x:c>
      <x:c r="M12" s="15" t="str">
        <x:v>40 unidades</x:v>
      </x:c>
    </x:row>
    <x:row r="13" ht="31.5" customHeight="1">
      <x:c r="A13" s="21" t="str">
        <x:v>C-08</x:v>
      </x:c>
      <x:c r="B13" s="21" t="str">
        <x:v>Conexões</x:v>
      </x:c>
      <x:c r="C13" s="15" t="str">
        <x:v>Kit jumper fêmea-fêmea</x:v>
      </x:c>
      <x:c r="D13" s="18" t="n">
        <x:v>1</x:v>
      </x:c>
      <x:c r="E13" s="19" t="str">
        <x:v>kit</x:v>
      </x:c>
      <x:c r="F13" s="20" t="n">
        <x:v>7.9</x:v>
      </x:c>
      <x:c r="G13" s="20" t="n">
        <x:f>D13*F13</x:f>
        <x:v>7.9</x:v>
      </x:c>
      <x:c r="H13" s="14" t="str">
        <x:v>Comum</x:v>
      </x:c>
      <x:c r="I13" s="14" t="str">
        <x:v>Sim</x:v>
      </x:c>
      <x:c r="J13" s="14" t="str">
        <x:v>Cotado</x:v>
      </x:c>
      <x:c r="K13" s="14" t="str">
        <x:v>Eletrogate</x:v>
      </x:c>
      <x:c r="L13" s="15" t="str">
        <x:v>https://www.eletrogate.com/jumpers-femea-femea-40-unidades-de-10-cm</x:v>
      </x:c>
      <x:c r="M13" s="15" t="str">
        <x:v>40 unidades</x:v>
      </x:c>
    </x:row>
    <x:row r="14" ht="31.5" customHeight="1">
      <x:c r="A14" s="21" t="str">
        <x:v>C-09</x:v>
      </x:c>
      <x:c r="B14" s="21" t="str">
        <x:v>Proteção</x:v>
      </x:c>
      <x:c r="C14" s="15" t="str">
        <x:v>Resistores de 1 kΩ e 2 kΩ</x:v>
      </x:c>
      <x:c r="D14" s="18" t="n">
        <x:v>2</x:v>
      </x:c>
      <x:c r="E14" s="19" t="str">
        <x:v>un.</x:v>
      </x:c>
      <x:c r="F14" s="20" t="n">
        <x:v>0.5</x:v>
      </x:c>
      <x:c r="G14" s="20" t="n">
        <x:f>D14*F14</x:f>
        <x:v>1</x:v>
      </x:c>
      <x:c r="H14" s="14" t="str">
        <x:v>Comum</x:v>
      </x:c>
      <x:c r="I14" s="14" t="str">
        <x:v>Sim</x:v>
      </x:c>
      <x:c r="J14" s="14" t="str">
        <x:v>Cotado</x:v>
      </x:c>
      <x:c r="K14" s="14" t="str">
        <x:v>Eletrogate</x:v>
      </x:c>
      <x:c r="L14" s="15" t="str">
        <x:v>https://www.eletrogate.com/resistores</x:v>
      </x:c>
      <x:c r="M14" s="15" t="str">
        <x:v>Divisor de tensão do ECHO do HC-SR04</x:v>
      </x:c>
    </x:row>
    <x:row r="15" ht="31.5" customHeight="1">
      <x:c r="A15" s="21" t="str">
        <x:v>C-10</x:v>
      </x:c>
      <x:c r="B15" s="21" t="str">
        <x:v>Prototipagem</x:v>
      </x:c>
      <x:c r="C15" s="15" t="str">
        <x:v>Mini protoboard 170 pontos</x:v>
      </x:c>
      <x:c r="D15" s="18" t="n">
        <x:v>1</x:v>
      </x:c>
      <x:c r="E15" s="19" t="str">
        <x:v>un.</x:v>
      </x:c>
      <x:c r="F15" s="20" t="n">
        <x:v>2.9</x:v>
      </x:c>
      <x:c r="G15" s="20" t="n">
        <x:f>D15*F15</x:f>
        <x:v>2.9</x:v>
      </x:c>
      <x:c r="H15" s="14" t="str">
        <x:v>Opcional</x:v>
      </x:c>
      <x:c r="I15" s="14" t="str">
        <x:v>Não</x:v>
      </x:c>
      <x:c r="J15" s="14" t="str">
        <x:v>Cotado</x:v>
      </x:c>
      <x:c r="K15" s="14" t="str">
        <x:v>Eletrogate</x:v>
      </x:c>
      <x:c r="L15" s="15" t="str">
        <x:v>https://www.eletrogate.com/mini-protoboard-170-pontos</x:v>
      </x:c>
      <x:c r="M15" s="15" t="str">
        <x:v>Opcional; facilita conexões durante os testes</x:v>
      </x:c>
    </x:row>
    <x:row r="16" ht="31.5" customHeight="1">
      <x:c r="A16" s="21" t="str">
        <x:v>A-01</x:v>
      </x:c>
      <x:c r="B16" s="21" t="str">
        <x:v>Alimentação</x:v>
      </x:c>
      <x:c r="C16" s="15" t="str">
        <x:v>Suporte para 4 pilhas AA</x:v>
      </x:c>
      <x:c r="D16" s="18" t="n">
        <x:v>2</x:v>
      </x:c>
      <x:c r="E16" s="19" t="str">
        <x:v>un.</x:v>
      </x:c>
      <x:c r="F16" s="20" t="n">
        <x:v>4.9</x:v>
      </x:c>
      <x:c r="G16" s="20" t="n">
        <x:f>D16*F16</x:f>
        <x:v>9.8</x:v>
      </x:c>
      <x:c r="H16" s="14" t="str">
        <x:v>Opção A</x:v>
      </x:c>
      <x:c r="I16" s="14" t="str">
        <x:v>Sim</x:v>
      </x:c>
      <x:c r="J16" s="14" t="str">
        <x:v>Cotado</x:v>
      </x:c>
      <x:c r="K16" s="14" t="str">
        <x:v>Eletrogate</x:v>
      </x:c>
      <x:c r="L16" s="15" t="str">
        <x:v>https://www.eletrogate.com/suporte-para-4-pilhas-aa-branco-</x:v>
      </x:c>
      <x:c r="M16" s="15" t="str">
        <x:v>Usar dois bancos independentes de 4 pilhas</x:v>
      </x:c>
    </x:row>
    <x:row r="17" ht="31.5" customHeight="1">
      <x:c r="A17" s="21" t="str">
        <x:v>A-02</x:v>
      </x:c>
      <x:c r="B17" s="21" t="str">
        <x:v>Alimentação</x:v>
      </x:c>
      <x:c r="C17" s="15" t="str">
        <x:v>Pilha AA Duracell</x:v>
      </x:c>
      <x:c r="D17" s="18" t="n">
        <x:v>8</x:v>
      </x:c>
      <x:c r="E17" s="19" t="str">
        <x:v>un.</x:v>
      </x:c>
      <x:c r="F17" s="20" t="n">
        <x:v>7.75</x:v>
      </x:c>
      <x:c r="G17" s="20" t="n">
        <x:f>D17*F17</x:f>
        <x:v>62</x:v>
      </x:c>
      <x:c r="H17" s="14" t="str">
        <x:v>Opção A</x:v>
      </x:c>
      <x:c r="I17" s="14" t="str">
        <x:v>Sim</x:v>
      </x:c>
      <x:c r="J17" s="14" t="str">
        <x:v>Cotado</x:v>
      </x:c>
      <x:c r="K17" s="14" t="str">
        <x:v>Amazon</x:v>
      </x:c>
      <x:c r="L17" s="15" t="str">
        <x:v>https://www.amazon.com.br/Duralock-Pilha-Alcalina-Unidades-Duracell/dp/B07FKWTQPH</x:v>
      </x:c>
      <x:c r="M17" s="15" t="str">
        <x:v>Não ligar as oito pilhas em série</x:v>
      </x:c>
    </x:row>
    <x:row r="18" ht="31.5" customHeight="1">
      <x:c r="A18" s="21" t="str">
        <x:v>B-01</x:v>
      </x:c>
      <x:c r="B18" s="21" t="str">
        <x:v>Alimentação</x:v>
      </x:c>
      <x:c r="C18" s="15" t="str">
        <x:v>Pack Li-Ion 7,4 V 2500 mAh com BMS</x:v>
      </x:c>
      <x:c r="D18" s="18" t="n">
        <x:v>1</x:v>
      </x:c>
      <x:c r="E18" s="19" t="str">
        <x:v>un.</x:v>
      </x:c>
      <x:c r="F18" s="20" t="n">
        <x:v>66</x:v>
      </x:c>
      <x:c r="G18" s="20" t="n">
        <x:f>D18*F18</x:f>
        <x:v>66</x:v>
      </x:c>
      <x:c r="H18" s="14" t="str">
        <x:v>Opção B</x:v>
      </x:c>
      <x:c r="I18" s="14" t="str">
        <x:v>Sim</x:v>
      </x:c>
      <x:c r="J18" s="14" t="str">
        <x:v>Cotado</x:v>
      </x:c>
      <x:c r="K18" s="14" t="str">
        <x:v>RoboCore</x:v>
      </x:c>
      <x:c r="L18" s="15" t="str">
        <x:v>https://www.robocore.net/baterias-fontes/pack-bateria-li-ion-7_4v-2500mah-com-bms</x:v>
      </x:c>
      <x:c r="M18" s="15" t="str">
        <x:v>Alternativa às oito pilhas e aos suportes</x:v>
      </x:c>
    </x:row>
    <x:row r="19" ht="31.5" customHeight="1">
      <x:c r="A19" s="21" t="str">
        <x:v>B-02</x:v>
      </x:c>
      <x:c r="B19" s="21" t="str">
        <x:v>Alimentação</x:v>
      </x:c>
      <x:c r="C19" s="15" t="str">
        <x:v>Carregador Li-Ion 2S</x:v>
      </x:c>
      <x:c r="D19" s="18" t="n">
        <x:v>1</x:v>
      </x:c>
      <x:c r="E19" s="19" t="str">
        <x:v>un.</x:v>
      </x:c>
      <x:c r="F19" s="20" t="n">
        <x:v>37.9</x:v>
      </x:c>
      <x:c r="G19" s="20" t="n">
        <x:f>D19*F19</x:f>
        <x:v>37.9</x:v>
      </x:c>
      <x:c r="H19" s="14" t="str">
        <x:v>Opção B + carregador</x:v>
      </x:c>
      <x:c r="I19" s="14" t="str">
        <x:v>Condicional</x:v>
      </x:c>
      <x:c r="J19" s="14" t="str">
        <x:v>Cotado</x:v>
      </x:c>
      <x:c r="K19" s="14" t="str">
        <x:v>RoboCore</x:v>
      </x:c>
      <x:c r="L19" s="15" t="str">
        <x:v>https://www.robocore.net/bateria/mini-carregador-bateria-litio-2s</x:v>
      </x:c>
      <x:c r="M19" s="15" t="str">
        <x:v>Necessário se o grupo não possuir carregador compatível</x:v>
      </x:c>
    </x:row>
    <x:row r="20" ht="31.5" customHeight="1">
      <x:c r="A20" s="21" t="str">
        <x:v>D-01</x:v>
      </x:c>
      <x:c r="B20" s="21" t="str">
        <x:v>Mecânica</x:v>
      </x:c>
      <x:c r="C20" s="15" t="str">
        <x:v>Carenagem</x:v>
      </x:c>
      <x:c r="D20" s="18" t="n">
        <x:v>1</x:v>
      </x:c>
      <x:c r="E20" s="19" t="str">
        <x:v>un.</x:v>
      </x:c>
      <x:c r="F20" s="20" t="n">
        <x:v>0</x:v>
      </x:c>
      <x:c r="G20" s="20" t="n">
        <x:f>D20*F20</x:f>
        <x:v>0</x:v>
      </x:c>
      <x:c r="H20" s="14" t="str">
        <x:v>A definir</x:v>
      </x:c>
      <x:c r="I20" s="14" t="str">
        <x:v>Sim</x:v>
      </x:c>
      <x:c r="J20" s="14" t="str">
        <x:v>A definir</x:v>
      </x:c>
      <x:c r="K20" s="14" t="str">
        <x:v>A definir</x:v>
      </x:c>
      <x:c r="L20" s="15" t="str"/>
      <x:c r="M20" s="15" t="str">
        <x:v>Material e preço serão definidos pelo grupo</x:v>
      </x:c>
    </x:row>
    <x:row r="21" ht="31.5" customHeight="1">
      <x:c r="A21" s="21" t="str">
        <x:v>D-02</x:v>
      </x:c>
      <x:c r="B21" s="21" t="str">
        <x:v>Montagem</x:v>
      </x:c>
      <x:c r="C21" s="15" t="str">
        <x:v>Chave, fios, parafusos e fixadores</x:v>
      </x:c>
      <x:c r="D21" s="18" t="n">
        <x:v>1</x:v>
      </x:c>
      <x:c r="E21" s="19" t="str">
        <x:v>kit</x:v>
      </x:c>
      <x:c r="F21" s="20" t="n">
        <x:v>0</x:v>
      </x:c>
      <x:c r="G21" s="20" t="n">
        <x:f>D21*F21</x:f>
        <x:v>0</x:v>
      </x:c>
      <x:c r="H21" s="14" t="str">
        <x:v>A definir</x:v>
      </x:c>
      <x:c r="I21" s="14" t="str">
        <x:v>Sim</x:v>
      </x:c>
      <x:c r="J21" s="14" t="str">
        <x:v>A definir</x:v>
      </x:c>
      <x:c r="K21" s="14" t="str">
        <x:v>A definir</x:v>
      </x:c>
      <x:c r="L21" s="15" t="str"/>
      <x:c r="M21" s="15" t="str">
        <x:v>Verificar materiais já disponíveis no laboratório</x:v>
      </x:c>
    </x:row>
  </x:sheetData>
  <x:mergeCells>
    <x:mergeCell ref="A1:M1"/>
    <x:mergeCell ref="A2:M2"/>
    <x:mergeCell ref="A4:M4"/>
  </x:mergeCells>
  <x:conditionalFormatting sqref="J6:J21">
    <x:cfRule type="containsText" dxfId="0" priority="1" operator="containsText" text="Cotado"/>
    <x:cfRule type="containsText" dxfId="1" priority="2" operator="containsText" text="Comprado"/>
    <x:cfRule type="containsText" dxfId="2" priority="3" operator="containsText" text="A definir"/>
  </x:conditionalFormatting>
  <x:dataValidations count="2">
    <x:dataValidation type="list" sqref="I6:I21">
      <x:formula1>"Sim,Não,Condicional"</x:formula1>
    </x:dataValidation>
    <x:dataValidation type="list" sqref="J6:J21">
      <x:formula1>"Cotado,Comprado,A definir"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089233d41b4623"/>
  </x:tableParts>
</x:worksheet>
</file>